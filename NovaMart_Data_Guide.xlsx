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d71aeb869749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292318805674023"/>
    <x:sheet xmlns:r="http://schemas.openxmlformats.org/officeDocument/2006/relationships" name="Data Dictionary" sheetId="2" r:id="R3771fa898fa44cdb"/>
    <x:sheet xmlns:r="http://schemas.openxmlformats.org/officeDocument/2006/relationships" name="QA Controls" sheetId="3" r:id="Rec76395edfde4cbb"/>
    <x:sheet xmlns:r="http://schemas.openxmlformats.org/officeDocument/2006/relationships" name="Monthly Baseline" sheetId="4" r:id="R89231070529349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€#,##0.00"/>
    <x:numFmt numFmtId="201" formatCode="0.0%"/>
    <x:numFmt numFmtId="202" formatCode="€#,##0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23B5D"/>
      <x:name val="Carlito"/>
    </x:font>
    <x:font>
      <x:b/>
      <x:sz val="11"/>
      <x:color rgb="FFFFFFFF"/>
      <x:name val="Carlito"/>
    </x:font>
    <x:font>
      <x:b/>
      <x:sz val="18"/>
      <x:color rgb="FF1F2937"/>
      <x:name val="Aptos"/>
    </x:font>
    <x:font>
      <x:sz val="11"/>
      <x:color rgb="FF1F2937"/>
      <x:name val="Aptos"/>
    </x:font>
    <x:font>
      <x:b/>
      <x:sz val="11"/>
      <x:color rgb="FF1F2937"/>
      <x:name val="Aptos"/>
    </x:font>
    <x:font>
      <x:b/>
      <x:sz val="18"/>
      <x:color rgb="FFFFFFFF"/>
      <x:name val="Aptos Display"/>
    </x:font>
    <x:font>
      <x:b/>
      <x:sz val="11"/>
      <x:color rgb="FFFFFFFF"/>
      <x:name val="Aptos"/>
    </x:font>
    <x:font>
      <x:sz val="11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DCEAF4"/>
      </x:patternFill>
    </x:fill>
    <x:fill>
      <x:patternFill patternType="solid">
        <x:fgColor rgb="FF2B7A78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8" fillId="2" borderId="0" xfId="0" applyNumberFormat="1" applyFont="1" applyFill="1" applyBorder="1"/>
    <x:xf numFmtId="0" fontId="9" fillId="0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3f49ce186245e7" /><Relationship Type="http://schemas.openxmlformats.org/officeDocument/2006/relationships/theme" Target="/xl/theme/theme1.xml" Id="R92fb3f2320ef4e1e" /><Relationship Type="http://schemas.openxmlformats.org/officeDocument/2006/relationships/sharedStrings" Target="/xl/sharedStrings.xml" Id="R32d43891f11245f3" /><Relationship Type="http://schemas.openxmlformats.org/officeDocument/2006/relationships/worksheet" Target="/xl/worksheets/sheet1.xml" Id="R3292318805674023" /><Relationship Type="http://schemas.openxmlformats.org/officeDocument/2006/relationships/worksheet" Target="/xl/worksheets/sheet2.xml" Id="R3771fa898fa44cdb" /><Relationship Type="http://schemas.openxmlformats.org/officeDocument/2006/relationships/worksheet" Target="/xl/worksheets/sheet3.xml" Id="Rec76395edfde4cbb" /><Relationship Type="http://schemas.openxmlformats.org/officeDocument/2006/relationships/worksheet" Target="/xl/worksheets/sheet4.xml" Id="R892310705293497e" /></Relationships>
</file>

<file path=xl/tables/table1.xml><?xml version="1.0" encoding="utf-8"?>
<x:table xmlns:x="http://schemas.openxmlformats.org/spreadsheetml/2006/main" id="1" name="DataDictionaryTable" displayName="DataDictionaryTable" ref="A1:D15" headerRowCount="1" totalsRowCount="0" totalsRowShown="0">
  <x:tableColumns count="4">
    <x:tableColumn id="1" name="File"/>
    <x:tableColumn id="2" name="Column"/>
    <x:tableColumn id="3" name="Type"/>
    <x:tableColumn id="4" name="Mean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thlyBaselineTable" displayName="MonthlyBaselineTable" ref="A1:E37" headerRowCount="1" totalsRowCount="0" totalsRowShown="0">
  <x:tableColumns count="5">
    <x:tableColumn id="1" name="Month"/>
    <x:tableColumn id="2" name="Net revenue EUR"/>
    <x:tableColumn id="3" name="Orders"/>
    <x:tableColumn id="4" name="Cost EUR"/>
    <x:tableColumn id="5" name="Gross marg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3f69a7ac2e4f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1e1268319a743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7" hidden="0" customWidth="1"/>
    <x:col min="3" max="3" width="18" hidden="0" customWidth="1"/>
    <x:col min="4" max="4" width="18" hidden="0" customWidth="1"/>
    <x:col min="5" max="5" width="25" hidden="0" customWidth="1"/>
    <x:col min="6" max="6" width="18" hidden="0" customWidth="1"/>
    <x:col min="7" max="7" width="18" hidden="0" customWidth="1"/>
    <x:col min="8" max="8" width="20" hidden="0" customWidth="1"/>
  </x:cols>
  <x:sheetData>
    <x:row r="1">
      <x:c r="A1" s="16" t="str">
        <x:v>NovaMart Europe — Synthetic Retail Dataset</x:v>
      </x:c>
      <x:c r="B1" s="16"/>
      <x:c r="C1" s="16"/>
      <x:c r="D1" s="16"/>
      <x:c r="E1" s="16"/>
      <x:c r="F1" s="16"/>
      <x:c r="G1" s="16"/>
      <x:c r="H1" s="16"/>
    </x:row>
    <x:row r="2">
      <x:c r="A2" s="16"/>
      <x:c r="B2" s="16"/>
      <x:c r="C2" s="16"/>
      <x:c r="D2" s="16"/>
      <x:c r="E2" s="16"/>
      <x:c r="F2" s="16"/>
      <x:c r="G2" s="16"/>
      <x:c r="H2" s="16"/>
    </x:row>
    <x:row r="3">
      <x:c r="A3" s="12"/>
      <x:c r="B3" s="12"/>
      <x:c r="C3" s="12"/>
      <x:c r="D3" s="12"/>
      <x:c r="E3" s="12"/>
      <x:c r="F3" s="12"/>
      <x:c r="G3" s="12"/>
      <x:c r="H3" s="12"/>
    </x:row>
    <x:row r="4">
      <x:c r="A4" s="13" t="str">
        <x:v>Period</x:v>
      </x:c>
      <x:c r="B4" s="14" t="str">
        <x:v>2023-01-01 to 2025-12-31</x:v>
      </x:c>
      <x:c r="C4" s="14"/>
      <x:c r="D4" s="13" t="str">
        <x:v>Customers</x:v>
      </x:c>
      <x:c r="E4" s="14" t="n">
        <x:v>12000</x:v>
      </x:c>
      <x:c r="F4" s="14"/>
      <x:c r="G4" s="14"/>
      <x:c r="H4" s="14"/>
    </x:row>
    <x:row r="5">
      <x:c r="A5" s="13" t="str">
        <x:v>Countries</x:v>
      </x:c>
      <x:c r="B5" s="14" t="str">
        <x:v>Cyprus and Serbia</x:v>
      </x:c>
      <x:c r="C5" s="14"/>
      <x:c r="D5" s="13" t="str">
        <x:v>Products</x:v>
      </x:c>
      <x:c r="E5" s="14" t="n">
        <x:v>240</x:v>
      </x:c>
      <x:c r="F5" s="14"/>
      <x:c r="G5" s="14"/>
      <x:c r="H5" s="14"/>
    </x:row>
    <x:row r="6">
      <x:c r="A6" s="13" t="str">
        <x:v>Currency</x:v>
      </x:c>
      <x:c r="B6" s="14" t="str">
        <x:v>EUR</x:v>
      </x:c>
      <x:c r="C6" s="14"/>
      <x:c r="D6" s="13" t="str">
        <x:v>Stores</x:v>
      </x:c>
      <x:c r="E6" s="14" t="n">
        <x:v>18</x:v>
      </x:c>
      <x:c r="F6" s="14"/>
      <x:c r="G6" s="14"/>
      <x:c r="H6" s="14"/>
    </x:row>
    <x:row r="7">
      <x:c r="A7" s="13" t="str">
        <x:v>Unique orders</x:v>
      </x:c>
      <x:c r="B7" s="14" t="n">
        <x:v>55000</x:v>
      </x:c>
      <x:c r="C7" s="14"/>
      <x:c r="D7" s="13" t="str">
        <x:v>Raw duplicate orders</x:v>
      </x:c>
      <x:c r="E7" s="14" t="n">
        <x:v>250</x:v>
      </x:c>
      <x:c r="F7" s="14"/>
      <x:c r="G7" s="14"/>
      <x:c r="H7" s="14"/>
    </x:row>
    <x:row r="8">
      <x:c r="A8" s="13" t="str">
        <x:v>Order lines</x:v>
      </x:c>
      <x:c r="B8" s="14" t="n">
        <x:v>108883</x:v>
      </x:c>
      <x:c r="C8" s="14"/>
      <x:c r="D8" s="13" t="str">
        <x:v>Invalid quantity rows</x:v>
      </x:c>
      <x:c r="E8" s="14" t="n">
        <x:v>90</x:v>
      </x:c>
      <x:c r="F8" s="14"/>
      <x:c r="G8" s="14"/>
      <x:c r="H8" s="14"/>
    </x:row>
    <x:row r="9">
      <x:c r="A9" s="13" t="str">
        <x:v>Web events</x:v>
      </x:c>
      <x:c r="B9" s="14" t="n">
        <x:v>80000</x:v>
      </x:c>
      <x:c r="C9" s="14"/>
      <x:c r="D9" s="13" t="str">
        <x:v>Missing customer cities</x:v>
      </x:c>
      <x:c r="E9" s="14" t="n">
        <x:v>185</x:v>
      </x:c>
      <x:c r="F9" s="14"/>
      <x:c r="G9" s="14"/>
      <x:c r="H9" s="14"/>
    </x:row>
    <x:row r="10">
      <x:c r="A10" s="14"/>
      <x:c r="B10" s="14"/>
      <x:c r="C10" s="14"/>
      <x:c r="D10" s="14"/>
      <x:c r="E10" s="14"/>
      <x:c r="F10" s="14"/>
      <x:c r="G10" s="14"/>
      <x:c r="H10" s="14"/>
    </x:row>
    <x:row r="11">
      <x:c r="A11" s="15" t="str">
        <x:v>Recommended portfolio pipeline</x:v>
      </x:c>
      <x:c r="B11" s="15"/>
      <x:c r="C11" s="15"/>
      <x:c r="D11" s="15"/>
      <x:c r="E11" s="15"/>
      <x:c r="F11" s="15"/>
      <x:c r="G11" s="15"/>
      <x:c r="H11" s="15"/>
    </x:row>
    <x:row r="12">
      <x:c r="A12" s="14" t="str">
        <x:v>1. Ingest</x:v>
      </x:c>
      <x:c r="B12" s="14" t="str">
        <x:v>CSV + JSONL</x:v>
      </x:c>
      <x:c r="C12" s="14" t="str"/>
      <x:c r="D12" s="14" t="str">
        <x:v>2. Clean</x:v>
      </x:c>
      <x:c r="E12" s="14" t="str">
        <x:v>Deduplicate and quarantine</x:v>
      </x:c>
      <x:c r="F12" s="14" t="str"/>
      <x:c r="G12" s="14" t="str">
        <x:v>3. Model</x:v>
      </x:c>
      <x:c r="H12" s="14" t="str">
        <x:v>Star schema</x:v>
      </x:c>
    </x:row>
    <x:row r="13">
      <x:c r="A13" s="14" t="str">
        <x:v>4. Transform</x:v>
      </x:c>
      <x:c r="B13" s="14" t="str">
        <x:v>SQL / Pandas</x:v>
      </x:c>
      <x:c r="C13" s="14" t="str"/>
      <x:c r="D13" s="14" t="str">
        <x:v>5. Store</x:v>
      </x:c>
      <x:c r="E13" s="14" t="str">
        <x:v>PostgreSQL / ClickHouse</x:v>
      </x:c>
      <x:c r="F13" s="14" t="str"/>
      <x:c r="G13" s="14" t="str">
        <x:v>6. Visualize</x:v>
      </x:c>
      <x:c r="H13" s="14" t="str">
        <x:v>Tableau</x:v>
      </x:c>
    </x:row>
    <x:row r="14">
      <x:c r="A14" s="14" t="str"/>
      <x:c r="B14" s="14" t="str"/>
      <x:c r="C14" s="14" t="str"/>
      <x:c r="D14" s="14" t="str"/>
      <x:c r="E14" s="14" t="str"/>
      <x:c r="F14" s="14" t="str"/>
      <x:c r="G14" s="14" t="str"/>
      <x:c r="H14" s="14" t="str"/>
    </x:row>
    <x:row r="15" ht="34" customHeight="1">
      <x:c r="A15" s="14" t="str">
        <x:v>Important</x:v>
      </x:c>
      <x:c r="B15" s="14" t="str">
        <x:v>All entities and transactions are fictional. Emails use the reserved synthetic.example domain.</x:v>
      </x:c>
      <x:c r="C15" s="14" t="str"/>
      <x:c r="D15" s="14" t="str"/>
      <x:c r="E15" s="14" t="str"/>
      <x:c r="F15" s="14" t="str"/>
      <x:c r="G15" s="14" t="str"/>
      <x:c r="H15" s="14" t="str"/>
    </x:row>
    <x:row r="16" ht="34" customHeight="1">
      <x:c r="A16" s="14" t="str">
        <x:v>Purpose</x:v>
      </x:c>
      <x:c r="B16" s="14" t="str">
        <x:v>Job-search portfolio demonstration; not for business decision-making.</x:v>
      </x:c>
      <x:c r="C16" s="14" t="str"/>
      <x:c r="D16" s="14" t="str"/>
      <x:c r="E16" s="14" t="str"/>
      <x:c r="F16" s="14" t="str"/>
      <x:c r="G16" s="14" t="str"/>
      <x:c r="H16" s="14" t="str"/>
    </x:row>
  </x:sheetData>
  <x:mergeCells>
    <x:mergeCell ref="A1:H2"/>
    <x:mergeCell ref="A11:H11"/>
    <x:mergeCell ref="B15:H15"/>
    <x:mergeCell ref="B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14" hidden="0" customWidth="1"/>
    <x:col min="4" max="4" width="46" hidden="0" customWidth="1"/>
  </x:cols>
  <x:sheetData>
    <x:row r="1">
      <x:c r="A1" s="20" t="str">
        <x:v>File</x:v>
      </x:c>
      <x:c r="B1" s="20" t="str">
        <x:v>Column</x:v>
      </x:c>
      <x:c r="C1" s="20" t="str">
        <x:v>Type</x:v>
      </x:c>
      <x:c r="D1" s="20" t="str">
        <x:v>Meaning</x:v>
      </x:c>
    </x:row>
    <x:row r="2">
      <x:c r="A2" s="21" t="str">
        <x:v>customers_raw.csv</x:v>
      </x:c>
      <x:c r="B2" s="21" t="str">
        <x:v>customer_id</x:v>
      </x:c>
      <x:c r="C2" s="21" t="str">
        <x:v>text</x:v>
      </x:c>
      <x:c r="D2" s="21" t="str">
        <x:v>Synthetic customer key</x:v>
      </x:c>
    </x:row>
    <x:row r="3">
      <x:c r="A3" s="21" t="str">
        <x:v>customers_raw.csv</x:v>
      </x:c>
      <x:c r="B3" s="21" t="str">
        <x:v>acquisition_channel</x:v>
      </x:c>
      <x:c r="C3" s="21" t="str">
        <x:v>text</x:v>
      </x:c>
      <x:c r="D3" s="21" t="str">
        <x:v>Original acquisition source</x:v>
      </x:c>
    </x:row>
    <x:row r="4">
      <x:c r="A4" s="21" t="str">
        <x:v>customers_raw.csv</x:v>
      </x:c>
      <x:c r="B4" s="21" t="str">
        <x:v>loyalty_tier</x:v>
      </x:c>
      <x:c r="C4" s="21" t="str">
        <x:v>text</x:v>
      </x:c>
      <x:c r="D4" s="21" t="str">
        <x:v>Bronze, Silver, Gold or Platinum</x:v>
      </x:c>
    </x:row>
    <x:row r="5">
      <x:c r="A5" s="21" t="str">
        <x:v>orders_raw.csv</x:v>
      </x:c>
      <x:c r="B5" s="21" t="str">
        <x:v>order_id</x:v>
      </x:c>
      <x:c r="C5" s="21" t="str">
        <x:v>text</x:v>
      </x:c>
      <x:c r="D5" s="21" t="str">
        <x:v>Order key; raw file contains duplicates</x:v>
      </x:c>
    </x:row>
    <x:row r="6">
      <x:c r="A6" s="21" t="str">
        <x:v>orders_raw.csv</x:v>
      </x:c>
      <x:c r="B6" s="21" t="str">
        <x:v>sales_channel</x:v>
      </x:c>
      <x:c r="C6" s="21" t="str">
        <x:v>text</x:v>
      </x:c>
      <x:c r="D6" s="21" t="str">
        <x:v>web, mobile_app, store or marketplace</x:v>
      </x:c>
    </x:row>
    <x:row r="7">
      <x:c r="A7" s="21" t="str">
        <x:v>orders_raw.csv</x:v>
      </x:c>
      <x:c r="B7" s="21" t="str">
        <x:v>order_status</x:v>
      </x:c>
      <x:c r="C7" s="21" t="str">
        <x:v>text</x:v>
      </x:c>
      <x:c r="D7" s="21" t="str">
        <x:v>completed, cancelled or refunded</x:v>
      </x:c>
    </x:row>
    <x:row r="8">
      <x:c r="A8" s="21" t="str">
        <x:v>orders_raw.csv</x:v>
      </x:c>
      <x:c r="B8" s="21" t="str">
        <x:v>net_amount_eur</x:v>
      </x:c>
      <x:c r="C8" s="21" t="str">
        <x:v>decimal</x:v>
      </x:c>
      <x:c r="D8" s="21" t="str">
        <x:v>Gross amount minus discount</x:v>
      </x:c>
    </x:row>
    <x:row r="9">
      <x:c r="A9" s="21" t="str">
        <x:v>order_items_raw.csv</x:v>
      </x:c>
      <x:c r="B9" s="21" t="str">
        <x:v>quantity</x:v>
      </x:c>
      <x:c r="C9" s="21" t="str">
        <x:v>integer</x:v>
      </x:c>
      <x:c r="D9" s="21" t="str">
        <x:v>Contains documented invalid values &lt;= 0</x:v>
      </x:c>
    </x:row>
    <x:row r="10">
      <x:c r="A10" s="21" t="str">
        <x:v>order_items_raw.csv</x:v>
      </x:c>
      <x:c r="B10" s="21" t="str">
        <x:v>line_net_amount_eur</x:v>
      </x:c>
      <x:c r="C10" s="21" t="str">
        <x:v>decimal</x:v>
      </x:c>
      <x:c r="D10" s="21" t="str">
        <x:v>Line amount after discount</x:v>
      </x:c>
    </x:row>
    <x:row r="11">
      <x:c r="A11" s="21" t="str">
        <x:v>products.csv</x:v>
      </x:c>
      <x:c r="B11" s="21" t="str">
        <x:v>unit_cost_eur</x:v>
      </x:c>
      <x:c r="C11" s="21" t="str">
        <x:v>decimal</x:v>
      </x:c>
      <x:c r="D11" s="21" t="str">
        <x:v>Synthetic cost for margin calculations</x:v>
      </x:c>
    </x:row>
    <x:row r="12">
      <x:c r="A12" s="21" t="str">
        <x:v>returns.csv</x:v>
      </x:c>
      <x:c r="B12" s="21" t="str">
        <x:v>refund_amount_eur</x:v>
      </x:c>
      <x:c r="C12" s="21" t="str">
        <x:v>decimal</x:v>
      </x:c>
      <x:c r="D12" s="21" t="str">
        <x:v>Requested refund amount</x:v>
      </x:c>
    </x:row>
    <x:row r="13">
      <x:c r="A13" s="21" t="str">
        <x:v>marketing_spend.csv</x:v>
      </x:c>
      <x:c r="B13" s="21" t="str">
        <x:v>spend_eur</x:v>
      </x:c>
      <x:c r="C13" s="21" t="str">
        <x:v>decimal</x:v>
      </x:c>
      <x:c r="D13" s="21" t="str">
        <x:v>Monthly channel spend</x:v>
      </x:c>
    </x:row>
    <x:row r="14">
      <x:c r="A14" s="21" t="str">
        <x:v>web_events.jsonl</x:v>
      </x:c>
      <x:c r="B14" s="21" t="str">
        <x:v>event_type</x:v>
      </x:c>
      <x:c r="C14" s="21" t="str">
        <x:v>text</x:v>
      </x:c>
      <x:c r="D14" s="21" t="str">
        <x:v>Funnel event type</x:v>
      </x:c>
    </x:row>
    <x:row r="15">
      <x:c r="A15" s="21" t="str">
        <x:v>web_events.jsonl</x:v>
      </x:c>
      <x:c r="B15" s="21" t="str">
        <x:v>session_id</x:v>
      </x:c>
      <x:c r="C15" s="21" t="str">
        <x:v>text</x:v>
      </x:c>
      <x:c r="D15" s="21" t="str">
        <x:v>Synthetic browsing session key</x:v>
      </x:c>
    </x:row>
  </x:sheetData>
  <x:pageMargins left="0.7" right="0.7" top="0.75" bottom="0.75" header="0.3" footer="0.3"/>
  <x:tableParts count="1">
    <x:tablePart xmlns:r="http://schemas.openxmlformats.org/officeDocument/2006/relationships" r:id="Rfd3f69a7ac2e4f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38" hidden="0" customWidth="1"/>
    <x:col min="4" max="4" width="28" hidden="0" customWidth="1"/>
  </x:cols>
  <x:sheetData>
    <x:row r="1">
      <x:c r="A1" s="24" t="str">
        <x:v>Control</x:v>
      </x:c>
      <x:c r="B1" s="24" t="str">
        <x:v>Source value</x:v>
      </x:c>
      <x:c r="C1" s="24" t="str">
        <x:v>Formula / expected logic</x:v>
      </x:c>
      <x:c r="D1" s="24" t="str">
        <x:v>Result</x:v>
      </x:c>
    </x:row>
    <x:row r="2">
      <x:c r="A2" s="9" t="str">
        <x:v>Raw order rows</x:v>
      </x:c>
      <x:c r="B2" s="9" t="n">
        <x:v>55250</x:v>
      </x:c>
      <x:c r="C2" s="9" t="str">
        <x:v>Unique orders + duplicate rows</x:v>
      </x:c>
      <x:c r="D2" s="9" t="n">
        <x:f>B3+B4</x:f>
        <x:v>55250</x:v>
      </x:c>
    </x:row>
    <x:row r="3">
      <x:c r="A3" s="9" t="str">
        <x:v>Unique order rows</x:v>
      </x:c>
      <x:c r="B3" s="9" t="n">
        <x:v>55000</x:v>
      </x:c>
      <x:c r="C3" s="9" t="str">
        <x:v>COUNT DISTINCT order_id</x:v>
      </x:c>
      <x:c r="D3" s="9" t="n">
        <x:f>B3</x:f>
        <x:v>55000</x:v>
      </x:c>
    </x:row>
    <x:row r="4">
      <x:c r="A4" s="9" t="str">
        <x:v>Duplicate rows</x:v>
      </x:c>
      <x:c r="B4" s="9" t="n">
        <x:v>250</x:v>
      </x:c>
      <x:c r="C4" s="9" t="str">
        <x:v>Raw rows - unique rows</x:v>
      </x:c>
      <x:c r="D4" s="9" t="n">
        <x:f>B2-B3</x:f>
        <x:v>250</x:v>
      </x:c>
    </x:row>
    <x:row r="5">
      <x:c r="A5" s="9" t="str">
        <x:v>Valid item rows</x:v>
      </x:c>
      <x:c r="B5" s="9" t="n">
        <x:v>108793</x:v>
      </x:c>
      <x:c r="C5" s="9" t="str">
        <x:v>All item rows - quantity &lt;= 0</x:v>
      </x:c>
      <x:c r="D5" s="9" t="n">
        <x:f>108883-90</x:f>
        <x:v>108793</x:v>
      </x:c>
    </x:row>
    <x:row r="6">
      <x:c r="A6" s="9" t="str">
        <x:v>Baseline net revenue</x:v>
      </x:c>
      <x:c r="B6" s="25" t="n">
        <x:v>14818079.13</x:v>
      </x:c>
      <x:c r="C6" s="9" t="str">
        <x:v>Completed + refunded source headers</x:v>
      </x:c>
      <x:c r="D6" s="25" t="n">
        <x:f>B6</x:f>
        <x:v>14818079.13</x:v>
      </x:c>
    </x:row>
    <x:row r="7">
      <x:c r="A7" s="9" t="str">
        <x:v>Gross margin</x:v>
      </x:c>
      <x:c r="B7" s="25" t="n">
        <x:v>9079424.33</x:v>
      </x:c>
      <x:c r="C7" s="9" t="str">
        <x:v>(Revenue - cost) / revenue</x:v>
      </x:c>
      <x:c r="D7" s="26" t="n">
        <x:f>(B6-B7)/B6</x:f>
        <x:v>0.38727386658246304</x:v>
      </x:c>
    </x:row>
    <x:row r="8">
      <x:c r="A8" s="9" t="str">
        <x:v>Refund ratio</x:v>
      </x:c>
      <x:c r="B8" s="25" t="n">
        <x:v>509068.37</x:v>
      </x:c>
      <x:c r="C8" s="9" t="str">
        <x:v>Refund amount / revenue</x:v>
      </x:c>
      <x:c r="D8" s="26" t="n">
        <x:f>B8/B6</x:f>
        <x:v>0.034354545250697414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17" t="str">
        <x:v>Month</x:v>
      </x:c>
      <x:c r="B1" s="17" t="str">
        <x:v>Net revenue EUR</x:v>
      </x:c>
      <x:c r="C1" s="17" t="str">
        <x:v>Orders</x:v>
      </x:c>
      <x:c r="D1" s="17" t="str">
        <x:v>Cost EUR</x:v>
      </x:c>
      <x:c r="E1" s="17" t="str">
        <x:v>Gross margin</x:v>
      </x:c>
    </x:row>
    <x:row r="2">
      <x:c r="A2" t="str">
        <x:v>2023-01</x:v>
      </x:c>
      <x:c r="B2" s="27" t="n">
        <x:v>274622.9</x:v>
      </x:c>
      <x:c r="C2" t="n">
        <x:v>1038</x:v>
      </x:c>
      <x:c r="D2" s="27" t="n">
        <x:v>168188.22</x:v>
      </x:c>
      <x:c r="E2" s="23" t="n">
        <x:v>0.39</x:v>
      </x:c>
    </x:row>
    <x:row r="3">
      <x:c r="A3" t="str">
        <x:v>2023-02</x:v>
      </x:c>
      <x:c r="B3" s="27" t="n">
        <x:v>333797.81</x:v>
      </x:c>
      <x:c r="C3" t="n">
        <x:v>1201</x:v>
      </x:c>
      <x:c r="D3" s="27" t="n">
        <x:v>203351.98</x:v>
      </x:c>
      <x:c r="E3" s="23" t="n">
        <x:v>0.39</x:v>
      </x:c>
    </x:row>
    <x:row r="4">
      <x:c r="A4" t="str">
        <x:v>2023-03</x:v>
      </x:c>
      <x:c r="B4" s="27" t="n">
        <x:v>382895.75</x:v>
      </x:c>
      <x:c r="C4" t="n">
        <x:v>1282</x:v>
      </x:c>
      <x:c r="D4" s="27" t="n">
        <x:v>233978.83</x:v>
      </x:c>
      <x:c r="E4" s="23" t="n">
        <x:v>0.39</x:v>
      </x:c>
    </x:row>
    <x:row r="5">
      <x:c r="A5" t="str">
        <x:v>2023-04</x:v>
      </x:c>
      <x:c r="B5" s="27" t="n">
        <x:v>374270.33</x:v>
      </x:c>
      <x:c r="C5" t="n">
        <x:v>1293</x:v>
      </x:c>
      <x:c r="D5" s="27" t="n">
        <x:v>228501.39</x:v>
      </x:c>
      <x:c r="E5" s="23" t="n">
        <x:v>0.39</x:v>
      </x:c>
    </x:row>
    <x:row r="6">
      <x:c r="A6" t="str">
        <x:v>2023-05</x:v>
      </x:c>
      <x:c r="B6" s="27" t="n">
        <x:v>369198.01</x:v>
      </x:c>
      <x:c r="C6" t="n">
        <x:v>1299</x:v>
      </x:c>
      <x:c r="D6" s="27" t="n">
        <x:v>226995.47</x:v>
      </x:c>
      <x:c r="E6" s="23" t="n">
        <x:v>0.39</x:v>
      </x:c>
    </x:row>
    <x:row r="7">
      <x:c r="A7" t="str">
        <x:v>2023-06</x:v>
      </x:c>
      <x:c r="B7" s="27" t="n">
        <x:v>328816.6</x:v>
      </x:c>
      <x:c r="C7" t="n">
        <x:v>1244</x:v>
      </x:c>
      <x:c r="D7" s="27" t="n">
        <x:v>201100.03</x:v>
      </x:c>
      <x:c r="E7" s="23" t="n">
        <x:v>0.39</x:v>
      </x:c>
    </x:row>
    <x:row r="8">
      <x:c r="A8" t="str">
        <x:v>2023-07</x:v>
      </x:c>
      <x:c r="B8" s="27" t="n">
        <x:v>438337.2</x:v>
      </x:c>
      <x:c r="C8" t="n">
        <x:v>1568</x:v>
      </x:c>
      <x:c r="D8" s="27" t="n">
        <x:v>268067</x:v>
      </x:c>
      <x:c r="E8" s="23" t="n">
        <x:v>0.39</x:v>
      </x:c>
    </x:row>
    <x:row r="9">
      <x:c r="A9" t="str">
        <x:v>2023-08</x:v>
      </x:c>
      <x:c r="B9" s="27" t="n">
        <x:v>430706.23</x:v>
      </x:c>
      <x:c r="C9" t="n">
        <x:v>1614</x:v>
      </x:c>
      <x:c r="D9" s="27" t="n">
        <x:v>264044.4</x:v>
      </x:c>
      <x:c r="E9" s="23" t="n">
        <x:v>0.39</x:v>
      </x:c>
    </x:row>
    <x:row r="10">
      <x:c r="A10" t="str">
        <x:v>2023-09</x:v>
      </x:c>
      <x:c r="B10" s="27" t="n">
        <x:v>380535.84</x:v>
      </x:c>
      <x:c r="C10" t="n">
        <x:v>1306</x:v>
      </x:c>
      <x:c r="D10" s="27" t="n">
        <x:v>232146.91</x:v>
      </x:c>
      <x:c r="E10" s="23" t="n">
        <x:v>0.39</x:v>
      </x:c>
    </x:row>
    <x:row r="11">
      <x:c r="A11" t="str">
        <x:v>2023-10</x:v>
      </x:c>
      <x:c r="B11" s="27" t="n">
        <x:v>387609.72</x:v>
      </x:c>
      <x:c r="C11" t="n">
        <x:v>1361</x:v>
      </x:c>
      <x:c r="D11" s="27" t="n">
        <x:v>236013.64</x:v>
      </x:c>
      <x:c r="E11" s="23" t="n">
        <x:v>0.39</x:v>
      </x:c>
    </x:row>
    <x:row r="12">
      <x:c r="A12" t="str">
        <x:v>2023-11</x:v>
      </x:c>
      <x:c r="B12" s="27" t="n">
        <x:v>585294.25</x:v>
      </x:c>
      <x:c r="C12" t="n">
        <x:v>2084</x:v>
      </x:c>
      <x:c r="D12" s="27" t="n">
        <x:v>364963.9</x:v>
      </x:c>
      <x:c r="E12" s="23" t="n">
        <x:v>0.38</x:v>
      </x:c>
    </x:row>
    <x:row r="13">
      <x:c r="A13" t="str">
        <x:v>2023-12</x:v>
      </x:c>
      <x:c r="B13" s="27" t="n">
        <x:v>610640.62</x:v>
      </x:c>
      <x:c r="C13" t="n">
        <x:v>2202</x:v>
      </x:c>
      <x:c r="D13" s="27" t="n">
        <x:v>379677.86</x:v>
      </x:c>
      <x:c r="E13" s="23" t="n">
        <x:v>0.38</x:v>
      </x:c>
    </x:row>
    <x:row r="14">
      <x:c r="A14" t="str">
        <x:v>2024-01</x:v>
      </x:c>
      <x:c r="B14" s="27" t="n">
        <x:v>296229.6</x:v>
      </x:c>
      <x:c r="C14" t="n">
        <x:v>998</x:v>
      </x:c>
      <x:c r="D14" s="27" t="n">
        <x:v>181214.49</x:v>
      </x:c>
      <x:c r="E14" s="23" t="n">
        <x:v>0.39</x:v>
      </x:c>
    </x:row>
    <x:row r="15">
      <x:c r="A15" t="str">
        <x:v>2024-02</x:v>
      </x:c>
      <x:c r="B15" s="27" t="n">
        <x:v>361452.64</x:v>
      </x:c>
      <x:c r="C15" t="n">
        <x:v>1307</x:v>
      </x:c>
      <x:c r="D15" s="27" t="n">
        <x:v>220234.5</x:v>
      </x:c>
      <x:c r="E15" s="23" t="n">
        <x:v>0.39</x:v>
      </x:c>
    </x:row>
    <x:row r="16">
      <x:c r="A16" t="str">
        <x:v>2024-03</x:v>
      </x:c>
      <x:c r="B16" s="27" t="n">
        <x:v>411309.81</x:v>
      </x:c>
      <x:c r="C16" t="n">
        <x:v>1368</x:v>
      </x:c>
      <x:c r="D16" s="27" t="n">
        <x:v>250582.44</x:v>
      </x:c>
      <x:c r="E16" s="23" t="n">
        <x:v>0.39</x:v>
      </x:c>
    </x:row>
    <x:row r="17">
      <x:c r="A17" t="str">
        <x:v>2024-04</x:v>
      </x:c>
      <x:c r="B17" s="27" t="n">
        <x:v>388288.61</x:v>
      </x:c>
      <x:c r="C17" t="n">
        <x:v>1292</x:v>
      </x:c>
      <x:c r="D17" s="27" t="n">
        <x:v>236460.21</x:v>
      </x:c>
      <x:c r="E17" s="23" t="n">
        <x:v>0.39</x:v>
      </x:c>
    </x:row>
    <x:row r="18">
      <x:c r="A18" t="str">
        <x:v>2024-05</x:v>
      </x:c>
      <x:c r="B18" s="27" t="n">
        <x:v>360584.21</x:v>
      </x:c>
      <x:c r="C18" t="n">
        <x:v>1264</x:v>
      </x:c>
      <x:c r="D18" s="27" t="n">
        <x:v>219543.48</x:v>
      </x:c>
      <x:c r="E18" s="23" t="n">
        <x:v>0.39</x:v>
      </x:c>
    </x:row>
    <x:row r="19">
      <x:c r="A19" t="str">
        <x:v>2024-06</x:v>
      </x:c>
      <x:c r="B19" s="27" t="n">
        <x:v>349758.12</x:v>
      </x:c>
      <x:c r="C19" t="n">
        <x:v>1264</x:v>
      </x:c>
      <x:c r="D19" s="27" t="n">
        <x:v>211736.48</x:v>
      </x:c>
      <x:c r="E19" s="23" t="n">
        <x:v>0.39</x:v>
      </x:c>
    </x:row>
    <x:row r="20">
      <x:c r="A20" t="str">
        <x:v>2024-07</x:v>
      </x:c>
      <x:c r="B20" s="27" t="n">
        <x:v>464030.14</x:v>
      </x:c>
      <x:c r="C20" t="n">
        <x:v>1571</x:v>
      </x:c>
      <x:c r="D20" s="27" t="n">
        <x:v>280974.06</x:v>
      </x:c>
      <x:c r="E20" s="23" t="n">
        <x:v>0.39</x:v>
      </x:c>
    </x:row>
    <x:row r="21">
      <x:c r="A21" t="str">
        <x:v>2024-08</x:v>
      </x:c>
      <x:c r="B21" s="27" t="n">
        <x:v>442926.25</x:v>
      </x:c>
      <x:c r="C21" t="n">
        <x:v>1571</x:v>
      </x:c>
      <x:c r="D21" s="27" t="n">
        <x:v>271210</x:v>
      </x:c>
      <x:c r="E21" s="23" t="n">
        <x:v>0.39</x:v>
      </x:c>
    </x:row>
    <x:row r="22">
      <x:c r="A22" t="str">
        <x:v>2024-09</x:v>
      </x:c>
      <x:c r="B22" s="27" t="n">
        <x:v>341112.27</x:v>
      </x:c>
      <x:c r="C22" t="n">
        <x:v>1267</x:v>
      </x:c>
      <x:c r="D22" s="27" t="n">
        <x:v>208754.26</x:v>
      </x:c>
      <x:c r="E22" s="23" t="n">
        <x:v>0.39</x:v>
      </x:c>
    </x:row>
    <x:row r="23">
      <x:c r="A23" t="str">
        <x:v>2024-10</x:v>
      </x:c>
      <x:c r="B23" s="27" t="n">
        <x:v>384287.81</x:v>
      </x:c>
      <x:c r="C23" t="n">
        <x:v>1353</x:v>
      </x:c>
      <x:c r="D23" s="27" t="n">
        <x:v>235996.21</x:v>
      </x:c>
      <x:c r="E23" s="23" t="n">
        <x:v>0.39</x:v>
      </x:c>
    </x:row>
    <x:row r="24">
      <x:c r="A24" t="str">
        <x:v>2024-11</x:v>
      </x:c>
      <x:c r="B24" s="27" t="n">
        <x:v>589771.06</x:v>
      </x:c>
      <x:c r="C24" t="n">
        <x:v>2051</x:v>
      </x:c>
      <x:c r="D24" s="27" t="n">
        <x:v>364688.45</x:v>
      </x:c>
      <x:c r="E24" s="23" t="n">
        <x:v>0.38</x:v>
      </x:c>
    </x:row>
    <x:row r="25">
      <x:c r="A25" t="str">
        <x:v>2024-12</x:v>
      </x:c>
      <x:c r="B25" s="27" t="n">
        <x:v>606095.95</x:v>
      </x:c>
      <x:c r="C25" t="n">
        <x:v>2126</x:v>
      </x:c>
      <x:c r="D25" s="27" t="n">
        <x:v>375406.71</x:v>
      </x:c>
      <x:c r="E25" s="23" t="n">
        <x:v>0.38</x:v>
      </x:c>
    </x:row>
    <x:row r="26">
      <x:c r="A26" t="str">
        <x:v>2025-01</x:v>
      </x:c>
      <x:c r="B26" s="27" t="n">
        <x:v>289113.09</x:v>
      </x:c>
      <x:c r="C26" t="n">
        <x:v>1036</x:v>
      </x:c>
      <x:c r="D26" s="27" t="n">
        <x:v>175792.41</x:v>
      </x:c>
      <x:c r="E26" s="23" t="n">
        <x:v>0.39</x:v>
      </x:c>
    </x:row>
    <x:row r="27">
      <x:c r="A27" t="str">
        <x:v>2025-02</x:v>
      </x:c>
      <x:c r="B27" s="27" t="n">
        <x:v>353144.95</x:v>
      </x:c>
      <x:c r="C27" t="n">
        <x:v>1168</x:v>
      </x:c>
      <x:c r="D27" s="27" t="n">
        <x:v>214876.54</x:v>
      </x:c>
      <x:c r="E27" s="23" t="n">
        <x:v>0.39</x:v>
      </x:c>
    </x:row>
    <x:row r="28">
      <x:c r="A28" t="str">
        <x:v>2025-03</x:v>
      </x:c>
      <x:c r="B28" s="27" t="n">
        <x:v>407893.41</x:v>
      </x:c>
      <x:c r="C28" t="n">
        <x:v>1361</x:v>
      </x:c>
      <x:c r="D28" s="27" t="n">
        <x:v>248659.18</x:v>
      </x:c>
      <x:c r="E28" s="23" t="n">
        <x:v>0.39</x:v>
      </x:c>
    </x:row>
    <x:row r="29">
      <x:c r="A29" t="str">
        <x:v>2025-04</x:v>
      </x:c>
      <x:c r="B29" s="27" t="n">
        <x:v>360512.07</x:v>
      </x:c>
      <x:c r="C29" t="n">
        <x:v>1271</x:v>
      </x:c>
      <x:c r="D29" s="27" t="n">
        <x:v>220006.53</x:v>
      </x:c>
      <x:c r="E29" s="23" t="n">
        <x:v>0.39</x:v>
      </x:c>
    </x:row>
    <x:row r="30">
      <x:c r="A30" t="str">
        <x:v>2025-05</x:v>
      </x:c>
      <x:c r="B30" s="27" t="n">
        <x:v>398138.86</x:v>
      </x:c>
      <x:c r="C30" t="n">
        <x:v>1366</x:v>
      </x:c>
      <x:c r="D30" s="27" t="n">
        <x:v>244061.23</x:v>
      </x:c>
      <x:c r="E30" s="23" t="n">
        <x:v>0.39</x:v>
      </x:c>
    </x:row>
    <x:row r="31">
      <x:c r="A31" t="str">
        <x:v>2025-06</x:v>
      </x:c>
      <x:c r="B31" s="27" t="n">
        <x:v>356203.53</x:v>
      </x:c>
      <x:c r="C31" t="n">
        <x:v>1294</x:v>
      </x:c>
      <x:c r="D31" s="27" t="n">
        <x:v>216486.55</x:v>
      </x:c>
      <x:c r="E31" s="23" t="n">
        <x:v>0.39</x:v>
      </x:c>
    </x:row>
    <x:row r="32">
      <x:c r="A32" t="str">
        <x:v>2025-07</x:v>
      </x:c>
      <x:c r="B32" s="27" t="n">
        <x:v>435739.34</x:v>
      </x:c>
      <x:c r="C32" t="n">
        <x:v>1525</x:v>
      </x:c>
      <x:c r="D32" s="27" t="n">
        <x:v>263793.78</x:v>
      </x:c>
      <x:c r="E32" s="23" t="n">
        <x:v>0.39</x:v>
      </x:c>
    </x:row>
    <x:row r="33">
      <x:c r="A33" t="str">
        <x:v>2025-08</x:v>
      </x:c>
      <x:c r="B33" s="27" t="n">
        <x:v>404439.33</x:v>
      </x:c>
      <x:c r="C33" t="n">
        <x:v>1492</x:v>
      </x:c>
      <x:c r="D33" s="27" t="n">
        <x:v>247824</x:v>
      </x:c>
      <x:c r="E33" s="23" t="n">
        <x:v>0.39</x:v>
      </x:c>
    </x:row>
    <x:row r="34">
      <x:c r="A34" t="str">
        <x:v>2025-09</x:v>
      </x:c>
      <x:c r="B34" s="27" t="n">
        <x:v>375469.33</x:v>
      </x:c>
      <x:c r="C34" t="n">
        <x:v>1302</x:v>
      </x:c>
      <x:c r="D34" s="27" t="n">
        <x:v>227671.5</x:v>
      </x:c>
      <x:c r="E34" s="23" t="n">
        <x:v>0.39</x:v>
      </x:c>
    </x:row>
    <x:row r="35">
      <x:c r="A35" t="str">
        <x:v>2025-10</x:v>
      </x:c>
      <x:c r="B35" s="27" t="n">
        <x:v>366245.98</x:v>
      </x:c>
      <x:c r="C35" t="n">
        <x:v>1254</x:v>
      </x:c>
      <x:c r="D35" s="27" t="n">
        <x:v>223510.07</x:v>
      </x:c>
      <x:c r="E35" s="23" t="n">
        <x:v>0.39</x:v>
      </x:c>
    </x:row>
    <x:row r="36">
      <x:c r="A36" t="str">
        <x:v>2025-11</x:v>
      </x:c>
      <x:c r="B36" s="27" t="n">
        <x:v>590173.79</x:v>
      </x:c>
      <x:c r="C36" t="n">
        <x:v>2124</x:v>
      </x:c>
      <x:c r="D36" s="27" t="n">
        <x:v>365968.18</x:v>
      </x:c>
      <x:c r="E36" s="23" t="n">
        <x:v>0.38</x:v>
      </x:c>
    </x:row>
    <x:row r="37">
      <x:c r="A37" t="str">
        <x:v>2025-12</x:v>
      </x:c>
      <x:c r="B37" s="27" t="n">
        <x:v>588433.72</x:v>
      </x:c>
      <x:c r="C37" t="n">
        <x:v>2127</x:v>
      </x:c>
      <x:c r="D37" s="27" t="n">
        <x:v>366943.44</x:v>
      </x:c>
      <x:c r="E37" s="23" t="n">
        <x:v>0.38</x:v>
      </x:c>
    </x:row>
  </x:sheetData>
  <x:pageMargins left="0.7" right="0.7" top="0.75" bottom="0.75" header="0.3" footer="0.3"/>
  <x:tableParts count="1">
    <x:tablePart xmlns:r="http://schemas.openxmlformats.org/officeDocument/2006/relationships" r:id="R51e1268319a74384"/>
  </x:tableParts>
</x:worksheet>
</file>